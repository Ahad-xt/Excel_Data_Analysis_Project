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mk\Downloads\Excel_Data_Analytics_Course-main\Excel_Data_Analytics_Course-main\2_Formulas_Functions\"/>
    </mc:Choice>
  </mc:AlternateContent>
  <xr:revisionPtr revIDLastSave="0" documentId="13_ncr:1_{9EF73C6D-251B-4060-9932-CB1BD46D2A9D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P4" i="9"/>
  <c r="P5" i="9"/>
  <c r="P6" i="9"/>
  <c r="P7" i="9"/>
  <c r="P8" i="9"/>
  <c r="P10" i="9"/>
  <c r="P11" i="9"/>
  <c r="P12" i="9"/>
  <c r="P3" i="9"/>
  <c r="D14" i="9"/>
  <c r="E14" i="9"/>
  <c r="C14" i="9"/>
  <c r="D13" i="9"/>
  <c r="E13" i="9"/>
  <c r="C13" i="9"/>
  <c r="F13" i="9"/>
  <c r="L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K13" i="9" s="1"/>
  <c r="H9" i="9"/>
  <c r="I9" i="9" s="1"/>
  <c r="I13" i="9" s="1"/>
  <c r="G9" i="9"/>
  <c r="G13" i="9" s="1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H13" i="9" l="1"/>
  <c r="M12" i="9"/>
  <c r="J12" i="9"/>
  <c r="J11" i="9"/>
  <c r="M11" i="9"/>
  <c r="M10" i="9"/>
  <c r="J10" i="9"/>
  <c r="J9" i="9"/>
  <c r="J13" i="9" s="1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P9" i="9" l="1"/>
  <c r="M13" i="9"/>
  <c r="N10" i="9"/>
  <c r="O10" i="9"/>
  <c r="N3" i="9"/>
  <c r="O3" i="9"/>
  <c r="O12" i="9"/>
  <c r="N12" i="9"/>
  <c r="N11" i="9"/>
  <c r="O11" i="9"/>
  <c r="N9" i="9"/>
  <c r="N13" i="9" s="1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<sst xmlns="http://schemas.openxmlformats.org/spreadsheetml/2006/main" count="83" uniqueCount="49">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</sst>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20" xfId="0" applyFont="1" applyBorder="1" applyAlignment="1">
      <alignment horizontal="center" wrapText="1"/>
    </xf>
    <xf numFmtId="0" fontId="3" fillId="0" borderId="20" xfId="0" applyFont="1" applyBorder="1"/>
    <xf numFmtId="0" fontId="4" fillId="0" borderId="1" xfId="0" applyFont="1" applyBorder="1" applyAlignment="1">
      <alignment horizontal="center" wrapText="1"/>
    </xf>
    <xf numFmtId="0" fontId="3" fillId="0" borderId="21" xfId="0" applyFont="1" applyBorder="1"/>
    <xf numFmtId="0" fontId="3" fillId="0" borderId="22" xfId="0" applyFont="1" applyBorder="1"/>
    <xf numFmtId="0" fontId="3" fillId="3" borderId="23" xfId="0" applyFont="1" applyFill="1" applyBorder="1"/>
    <xf numFmtId="0" fontId="3" fillId="0" borderId="0" xfId="0" applyFont="1" applyBorder="1"/>
    <xf numFmtId="0" fontId="3" fillId="3" borderId="24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O16" sqref="O16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40" t="s">
        <v>25</v>
      </c>
      <c r="O2" s="42" t="s">
        <v>29</v>
      </c>
      <c r="P2" s="42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41">
        <f>L3*M3</f>
        <v>1</v>
      </c>
      <c r="O3" s="18" t="b">
        <f>L3*M3=1</f>
        <v>1</v>
      </c>
      <c r="P3" s="18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41">
        <f t="shared" ref="N4:N12" si="8">L4*M4</f>
        <v>0</v>
      </c>
      <c r="O4" s="18" t="b">
        <f t="shared" ref="O4:O12" si="9">L4*M4=1</f>
        <v>0</v>
      </c>
      <c r="P4" s="18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41">
        <f t="shared" si="8"/>
        <v>0</v>
      </c>
      <c r="O5" s="18" t="b">
        <f t="shared" si="9"/>
        <v>0</v>
      </c>
      <c r="P5" s="18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41">
        <f t="shared" si="8"/>
        <v>1</v>
      </c>
      <c r="O6" s="18" t="b">
        <f t="shared" si="9"/>
        <v>1</v>
      </c>
      <c r="P6" s="18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41">
        <f t="shared" si="8"/>
        <v>0</v>
      </c>
      <c r="O7" s="18" t="b">
        <f t="shared" si="9"/>
        <v>0</v>
      </c>
      <c r="P7" s="18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41">
        <f t="shared" si="8"/>
        <v>1</v>
      </c>
      <c r="O8" s="18" t="b">
        <f t="shared" si="9"/>
        <v>1</v>
      </c>
      <c r="P8" s="18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41">
        <f t="shared" si="8"/>
        <v>1</v>
      </c>
      <c r="O9" s="18" t="b">
        <f t="shared" si="9"/>
        <v>1</v>
      </c>
      <c r="P9" s="18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41">
        <f t="shared" si="8"/>
        <v>1</v>
      </c>
      <c r="O10" s="18" t="b">
        <f t="shared" si="9"/>
        <v>1</v>
      </c>
      <c r="P10" s="18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41">
        <f t="shared" si="8"/>
        <v>0</v>
      </c>
      <c r="O11" s="18" t="b">
        <f t="shared" si="9"/>
        <v>0</v>
      </c>
      <c r="P11" s="18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41">
        <f t="shared" si="8"/>
        <v>1</v>
      </c>
      <c r="O12" s="18" t="b">
        <f t="shared" si="9"/>
        <v>1</v>
      </c>
      <c r="P12" s="18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  <c r="F13" s="19">
        <f t="shared" ref="D13:N13" si="12">AVERAGE(F3:F12)</f>
        <v>5.3</v>
      </c>
      <c r="G13" s="19">
        <f t="shared" si="12"/>
        <v>129400</v>
      </c>
      <c r="H13" s="19">
        <f t="shared" si="12"/>
        <v>8.5565480895915674E-2</v>
      </c>
      <c r="I13" s="19">
        <f t="shared" si="12"/>
        <v>129400</v>
      </c>
      <c r="J13" s="19" t="e">
        <f t="shared" si="12"/>
        <v>#DIV/0!</v>
      </c>
      <c r="K13" s="19" t="e">
        <f t="shared" si="12"/>
        <v>#DIV/0!</v>
      </c>
      <c r="L13" s="19" t="e">
        <f t="shared" si="12"/>
        <v>#DIV/0!</v>
      </c>
      <c r="M13" s="19" t="e">
        <f t="shared" si="12"/>
        <v>#DIV/0!</v>
      </c>
      <c r="N13" s="19">
        <f t="shared" si="12"/>
        <v>0.6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E14" si="13">AVERAGE(D3:D12)</f>
        <v>119000</v>
      </c>
      <c r="E14" s="20">
        <f t="shared" si="13"/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4">COUNT(D3:D12)</f>
        <v>10</v>
      </c>
      <c r="E15" s="44">
        <f t="shared" si="14"/>
        <v>10</v>
      </c>
    </row>
    <row r="16" spans="2:19" x14ac:dyDescent="0.25">
      <c r="B16" s="33" t="s">
        <v>31</v>
      </c>
      <c r="C16" s="18">
        <f>COUNTIF($C$3:$C$12,"&lt;=5")</f>
        <v>6</v>
      </c>
      <c r="D16" s="43">
        <f>COUNTIF($D$3:$D$12,"&gt;=90000")</f>
        <v>9</v>
      </c>
      <c r="E16" s="47"/>
      <c r="O16" s="46"/>
    </row>
    <row r="17" spans="2:16" ht="15.75" thickBot="1" x14ac:dyDescent="0.3">
      <c r="B17" s="12" t="s">
        <v>31</v>
      </c>
      <c r="C17" s="35">
        <f>COUNTIF($C$3:$C$12,"&lt;="&amp;S3)</f>
        <v>6</v>
      </c>
      <c r="D17" s="43">
        <f>COUNTIF($D$3:$D$12,"&gt;="&amp;S4)</f>
        <v>9</v>
      </c>
      <c r="E17" s="45"/>
      <c r="O17" s="46"/>
      <c r="P17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ahad ؟</cp:lastModifiedBy>
  <dcterms:created xsi:type="dcterms:W3CDTF">2024-07-16T20:11:02Z</dcterms:created>
  <dcterms:modified xsi:type="dcterms:W3CDTF">2026-03-25T15:49:18Z</dcterms:modified>
</cp:coreProperties>
</file>