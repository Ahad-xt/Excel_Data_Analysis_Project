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Projects\Excel_Data_Analytics_Course-main\Excel_Data_Analytics_Course-main\6_Advanced_Data_Analysis\"/>
    </mc:Choice>
  </mc:AlternateContent>
  <xr:revisionPtr revIDLastSave="0" documentId="13_ncr:1_{B7F7846C-2737-470D-B49B-E03C015BA629}" xr6:coauthVersionLast="47" xr6:coauthVersionMax="47" xr10:uidLastSave="{00000000-0000-0000-0000-000000000000}"/>
  <bookViews>
    <workbookView xWindow="-120" yWindow="-120" windowWidth="29040" windowHeight="15720" activeTab="3" xr2:uid="{6C37AC85-509F-4D10-9DB1-F70D16D6FBAB}"/>
  </bookViews>
  <sheets>
    <sheet name="Forecast_Original" sheetId="7" r:id="rId1"/>
    <sheet name="Forecast_Final" sheetId="8" state="hidden" r:id="rId2"/>
    <sheet name="Scenario Summary" sheetId="16" r:id="rId3"/>
    <sheet name="What-If_Analysis" sheetId="3" r:id="rId4"/>
    <sheet name="Scenario_Summary" sheetId="12" state="hidden" r:id="rId5"/>
    <sheet name="Answer_Report" sheetId="13" state="hidden" r:id="rId6"/>
    <sheet name="Limits_Report" sheetId="15" state="hidden" r:id="rId7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'What-If_Analysis'!$C$4,'What-If_Analysis'!$C$5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</definedName>
    <definedName name="solver_rhs2" localSheetId="3" hidden="1">0.05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6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640000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13" i="3"/>
  <c r="C12" i="3"/>
  <c r="C11" i="3"/>
  <c r="C10" i="3"/>
  <c r="C9" i="3"/>
  <c r="C378" i="8"/>
  <c r="C390" i="8"/>
  <c r="C402" i="8"/>
  <c r="C414" i="8"/>
  <c r="C426" i="8"/>
  <c r="C438" i="8"/>
  <c r="C450" i="8"/>
  <c r="C367" i="8"/>
  <c r="C379" i="8"/>
  <c r="C391" i="8"/>
  <c r="C403" i="8"/>
  <c r="C415" i="8"/>
  <c r="C427" i="8"/>
  <c r="C439" i="8"/>
  <c r="C451" i="8"/>
  <c r="C368" i="8"/>
  <c r="C380" i="8"/>
  <c r="C392" i="8"/>
  <c r="C404" i="8"/>
  <c r="C416" i="8"/>
  <c r="C428" i="8"/>
  <c r="C440" i="8"/>
  <c r="C452" i="8"/>
  <c r="C429" i="8"/>
  <c r="C453" i="8"/>
  <c r="C409" i="8"/>
  <c r="C457" i="8"/>
  <c r="C437" i="8"/>
  <c r="C369" i="8"/>
  <c r="C381" i="8"/>
  <c r="C393" i="8"/>
  <c r="C405" i="8"/>
  <c r="C417" i="8"/>
  <c r="C441" i="8"/>
  <c r="C445" i="8"/>
  <c r="C401" i="8"/>
  <c r="C370" i="8"/>
  <c r="C382" i="8"/>
  <c r="C394" i="8"/>
  <c r="C406" i="8"/>
  <c r="C418" i="8"/>
  <c r="C430" i="8"/>
  <c r="C442" i="8"/>
  <c r="C454" i="8"/>
  <c r="C420" i="8"/>
  <c r="C397" i="8"/>
  <c r="C449" i="8"/>
  <c r="C371" i="8"/>
  <c r="C383" i="8"/>
  <c r="C395" i="8"/>
  <c r="C407" i="8"/>
  <c r="C419" i="8"/>
  <c r="C431" i="8"/>
  <c r="C443" i="8"/>
  <c r="C455" i="8"/>
  <c r="C408" i="8"/>
  <c r="C444" i="8"/>
  <c r="C421" i="8"/>
  <c r="C389" i="8"/>
  <c r="C372" i="8"/>
  <c r="C384" i="8"/>
  <c r="C396" i="8"/>
  <c r="C432" i="8"/>
  <c r="C456" i="8"/>
  <c r="C433" i="8"/>
  <c r="C413" i="8"/>
  <c r="C373" i="8"/>
  <c r="C385" i="8"/>
  <c r="C425" i="8"/>
  <c r="C374" i="8"/>
  <c r="C386" i="8"/>
  <c r="C398" i="8"/>
  <c r="C410" i="8"/>
  <c r="C422" i="8"/>
  <c r="C434" i="8"/>
  <c r="C446" i="8"/>
  <c r="C458" i="8"/>
  <c r="C375" i="8"/>
  <c r="C387" i="8"/>
  <c r="C399" i="8"/>
  <c r="C411" i="8"/>
  <c r="C423" i="8"/>
  <c r="C435" i="8"/>
  <c r="C447" i="8"/>
  <c r="C376" i="8"/>
  <c r="C388" i="8"/>
  <c r="C400" i="8"/>
  <c r="C412" i="8"/>
  <c r="C424" i="8"/>
  <c r="C436" i="8"/>
  <c r="C448" i="8"/>
  <c r="C377" i="8"/>
  <c r="C14" i="3" l="1"/>
  <c r="D367" i="8"/>
  <c r="D373" i="8"/>
  <c r="D379" i="8"/>
  <c r="D385" i="8"/>
  <c r="D391" i="8"/>
  <c r="E397" i="8"/>
  <c r="E403" i="8"/>
  <c r="D409" i="8"/>
  <c r="D415" i="8"/>
  <c r="E421" i="8"/>
  <c r="D427" i="8"/>
  <c r="D433" i="8"/>
  <c r="E439" i="8"/>
  <c r="D445" i="8"/>
  <c r="E451" i="8"/>
  <c r="E457" i="8"/>
  <c r="E367" i="8"/>
  <c r="E373" i="8"/>
  <c r="E379" i="8"/>
  <c r="E385" i="8"/>
  <c r="E391" i="8"/>
  <c r="D397" i="8"/>
  <c r="D403" i="8"/>
  <c r="E409" i="8"/>
  <c r="E415" i="8"/>
  <c r="D421" i="8"/>
  <c r="E427" i="8"/>
  <c r="E433" i="8"/>
  <c r="D439" i="8"/>
  <c r="E445" i="8"/>
  <c r="D451" i="8"/>
  <c r="D457" i="8"/>
  <c r="D368" i="8"/>
  <c r="D374" i="8"/>
  <c r="E380" i="8"/>
  <c r="D386" i="8"/>
  <c r="E392" i="8"/>
  <c r="D398" i="8"/>
  <c r="E404" i="8"/>
  <c r="D410" i="8"/>
  <c r="D416" i="8"/>
  <c r="E422" i="8"/>
  <c r="D428" i="8"/>
  <c r="E434" i="8"/>
  <c r="E440" i="8"/>
  <c r="D446" i="8"/>
  <c r="D452" i="8"/>
  <c r="E458" i="8"/>
  <c r="E368" i="8"/>
  <c r="E374" i="8"/>
  <c r="D380" i="8"/>
  <c r="E386" i="8"/>
  <c r="D392" i="8"/>
  <c r="E398" i="8"/>
  <c r="D404" i="8"/>
  <c r="E410" i="8"/>
  <c r="E416" i="8"/>
  <c r="D422" i="8"/>
  <c r="E428" i="8"/>
  <c r="D434" i="8"/>
  <c r="D440" i="8"/>
  <c r="E446" i="8"/>
  <c r="E452" i="8"/>
  <c r="D458" i="8"/>
  <c r="E369" i="8"/>
  <c r="D375" i="8"/>
  <c r="D381" i="8"/>
  <c r="D387" i="8"/>
  <c r="E393" i="8"/>
  <c r="E399" i="8"/>
  <c r="E405" i="8"/>
  <c r="D411" i="8"/>
  <c r="D417" i="8"/>
  <c r="D423" i="8"/>
  <c r="D429" i="8"/>
  <c r="E435" i="8"/>
  <c r="D441" i="8"/>
  <c r="E447" i="8"/>
  <c r="E453" i="8"/>
  <c r="D369" i="8"/>
  <c r="E375" i="8"/>
  <c r="E381" i="8"/>
  <c r="E387" i="8"/>
  <c r="D393" i="8"/>
  <c r="D399" i="8"/>
  <c r="D405" i="8"/>
  <c r="E411" i="8"/>
  <c r="E417" i="8"/>
  <c r="E423" i="8"/>
  <c r="E429" i="8"/>
  <c r="D435" i="8"/>
  <c r="E441" i="8"/>
  <c r="D447" i="8"/>
  <c r="D453" i="8"/>
  <c r="E370" i="8"/>
  <c r="D376" i="8"/>
  <c r="E382" i="8"/>
  <c r="D388" i="8"/>
  <c r="E394" i="8"/>
  <c r="E400" i="8"/>
  <c r="E406" i="8"/>
  <c r="D412" i="8"/>
  <c r="D418" i="8"/>
  <c r="E424" i="8"/>
  <c r="D430" i="8"/>
  <c r="E436" i="8"/>
  <c r="D442" i="8"/>
  <c r="E448" i="8"/>
  <c r="D454" i="8"/>
  <c r="D370" i="8"/>
  <c r="E376" i="8"/>
  <c r="D382" i="8"/>
  <c r="E388" i="8"/>
  <c r="D394" i="8"/>
  <c r="D400" i="8"/>
  <c r="D406" i="8"/>
  <c r="E412" i="8"/>
  <c r="E418" i="8"/>
  <c r="D424" i="8"/>
  <c r="E430" i="8"/>
  <c r="D436" i="8"/>
  <c r="E442" i="8"/>
  <c r="D448" i="8"/>
  <c r="E454" i="8"/>
  <c r="E371" i="8"/>
  <c r="D377" i="8"/>
  <c r="E383" i="8"/>
  <c r="D389" i="8"/>
  <c r="E395" i="8"/>
  <c r="E401" i="8"/>
  <c r="E407" i="8"/>
  <c r="D413" i="8"/>
  <c r="D419" i="8"/>
  <c r="E425" i="8"/>
  <c r="D431" i="8"/>
  <c r="D437" i="8"/>
  <c r="D443" i="8"/>
  <c r="E449" i="8"/>
  <c r="D455" i="8"/>
  <c r="D371" i="8"/>
  <c r="E377" i="8"/>
  <c r="D383" i="8"/>
  <c r="E389" i="8"/>
  <c r="D395" i="8"/>
  <c r="D401" i="8"/>
  <c r="D407" i="8"/>
  <c r="E413" i="8"/>
  <c r="E419" i="8"/>
  <c r="D425" i="8"/>
  <c r="E431" i="8"/>
  <c r="E437" i="8"/>
  <c r="E443" i="8"/>
  <c r="D449" i="8"/>
  <c r="E455" i="8"/>
  <c r="E372" i="8"/>
  <c r="D378" i="8"/>
  <c r="D384" i="8"/>
  <c r="D390" i="8"/>
  <c r="D396" i="8"/>
  <c r="E402" i="8"/>
  <c r="E408" i="8"/>
  <c r="D414" i="8"/>
  <c r="D420" i="8"/>
  <c r="E426" i="8"/>
  <c r="D432" i="8"/>
  <c r="E438" i="8"/>
  <c r="D444" i="8"/>
  <c r="E450" i="8"/>
  <c r="E456" i="8"/>
  <c r="D372" i="8"/>
  <c r="E378" i="8"/>
  <c r="E384" i="8"/>
  <c r="E390" i="8"/>
  <c r="E396" i="8"/>
  <c r="D402" i="8"/>
  <c r="D408" i="8"/>
  <c r="E414" i="8"/>
  <c r="E420" i="8"/>
  <c r="D426" i="8"/>
  <c r="E432" i="8"/>
  <c r="D438" i="8"/>
  <c r="E444" i="8"/>
  <c r="D450" i="8"/>
  <c r="D456" i="8"/>
</calcChain>
</file>

<file path=xl/sharedStrings.xml><?xml version="1.0" encoding="utf-8"?>
<sst xmlns="http://schemas.openxmlformats.org/spreadsheetml/2006/main" count="142" uniqueCount="79">
  <si>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</si>
  <si>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</si>
  <si>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</si>
  <si>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</si>
  <si>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</si>
  <si>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</si>
  <si>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</si>
  <si>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</si>
  <si>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</si>
  <si>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</si>
  <si>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</si>
  <si>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</si>
  <si>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</si>
  <si>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</si>
  <si>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</si>
  <si>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</si>
  <si>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</si>
  <si>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</si>
  <si>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</si>
  <si>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</si>
  <si>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</si>
  <si>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</si>
  <si>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</si>
  <si>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</si>
  <si>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</si>
  <si>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</si>
  <si>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</si>
  <si>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</si>
  <si>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</si>
  <si>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</si>
  <si>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</si>
  <si>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</si>
  <si>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</si>
  <si>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</si>
  <si>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</si>
  <si>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</si>
  <si>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</si>
  <si>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</si>
  <si>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</si>
  <si>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</si>
  <si>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</si>
  <si>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</si>
  <si>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</si>
  <si>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</si>
  <si>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</si>
  <si>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</si>
  <si>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</si>
  <si>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</si>
  <si>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</si>
  <si>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</si>
  <si>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</si>
  <si>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</si>
  <si>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</si>
  <si>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</si>
  <si>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</si>
  <si>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</si>
  <si>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</si>
  <si>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</si>
  <si>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</si>
  <si>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</si>
  <si>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</si>
  <si>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</si>
  <si>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</si>
  <si>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</si>
  <si>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</si>
  <si>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</si>
  <si>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</si>
  <si>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</si>
  <si>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</si>
  <si>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</si>
  <si>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</si>
  <si>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</si>
  <si>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</si>
  <si>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</si>
  <si>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</si>
  <si>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</si>
  <si>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</si>
  <si>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</si>
  <si>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ahad ؟ on 09/04/2026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</si>
</sst>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78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/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CB84-AE9F-49D7-A4B3-76CC6CA3D520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2.5" hidden="1" outlineLevel="1" x14ac:dyDescent="0.25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C14" sqref="C14"/>
    </sheetView>
  </sheetViews>
  <sheetFormatPr defaultRowHeight="15" x14ac:dyDescent="0.25"/>
  <cols>
    <col min="2" max="2" width="11.5703125" customWidth="1"/>
    <col min="3" max="3" width="11.8554687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3.22751823608508E-2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120000</v>
      </c>
    </row>
    <row r="10" spans="2:8" x14ac:dyDescent="0.25">
      <c r="B10" s="4">
        <v>1</v>
      </c>
      <c r="C10" s="2">
        <f>(base*(1+raise)^B10)*(1+bonus)</f>
        <v>123873.02188330208</v>
      </c>
    </row>
    <row r="11" spans="2:8" x14ac:dyDescent="0.25">
      <c r="B11" s="4">
        <v>2</v>
      </c>
      <c r="C11" s="2">
        <f>(base*(1+raise)^B11)*(1+bonus)</f>
        <v>127871.04625417529</v>
      </c>
    </row>
    <row r="12" spans="2:8" x14ac:dyDescent="0.25">
      <c r="B12" s="4">
        <v>3</v>
      </c>
      <c r="C12" s="2">
        <f>(base*(1+raise)^B12)*(1+bonus)</f>
        <v>131998.10759070155</v>
      </c>
    </row>
    <row r="13" spans="2:8" ht="15.75" thickBot="1" x14ac:dyDescent="0.3">
      <c r="B13" s="36">
        <v>4</v>
      </c>
      <c r="C13" s="37">
        <f>(base*(1+raise)^B13)*(1+bonus)</f>
        <v>136258.37058447866</v>
      </c>
    </row>
    <row r="14" spans="2:8" ht="16.5" thickTop="1" thickBot="1" x14ac:dyDescent="0.3">
      <c r="B14" s="34" t="s">
        <v>3</v>
      </c>
      <c r="C14" s="35">
        <f>SUM(C9:C13)</f>
        <v>640000.54631265765</v>
      </c>
    </row>
  </sheetData>
  <scenarios current="0" sqref="C9:C14">
    <scenario name="Job 1" locked="1" count="3" user="ahad ؟" comment="Created by ahad ؟ on 09/04/2026">
      <inputCells r="C3" val="100000" numFmtId="165"/>
      <inputCells r="C4" val="0.1" numFmtId="9"/>
      <inputCells r="C5" val="0.015" numFmtId="166"/>
    </scenario>
    <scenario name="Job 2" locked="1" count="3" user="ahad ؟" comment="Created by ahad ؟ on 09/04/2026">
      <inputCells r="C3" val="80000" numFmtId="165"/>
      <inputCells r="C4" val="0.15" numFmtId="9"/>
      <inputCells r="C5" val="0.012" numFmtId="166"/>
    </scenario>
    <scenario name="Job 3" locked="1" count="3" user="ahad ؟" comment="Created by ahad ؟ on 09/04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Forecast_Original</vt:lpstr>
      <vt:lpstr>Forecast_Final</vt:lpstr>
      <vt:lpstr>Scenario Summary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ahad ؟</cp:lastModifiedBy>
  <dcterms:created xsi:type="dcterms:W3CDTF">2024-08-08T18:34:47Z</dcterms:created>
  <dcterms:modified xsi:type="dcterms:W3CDTF">2026-04-09T15:01:44Z</dcterms:modified>
</cp:coreProperties>
</file>